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MCKesson FIle/"/>
    </mc:Choice>
  </mc:AlternateContent>
  <xr:revisionPtr revIDLastSave="80" documentId="8_{C37F4D60-6BD6-4837-B2BE-AA43561B402E}" xr6:coauthVersionLast="47" xr6:coauthVersionMax="47" xr10:uidLastSave="{A52D8277-96A6-4BF9-BA34-517989BE341E}"/>
  <bookViews>
    <workbookView xWindow="2190" yWindow="3285" windowWidth="28800" windowHeight="11295" firstSheet="2" activeTab="2" xr2:uid="{00000000-000D-0000-FFFF-FFFF00000000}"/>
  </bookViews>
  <sheets>
    <sheet name="Invoice_Data" sheetId="2" r:id="rId1"/>
    <sheet name="Formula_Guide" sheetId="3" r:id="rId2"/>
    <sheet name="McKesson_Storage_KPI_Summary" sheetId="1" r:id="rId3"/>
    <sheet name="Assumptions_Ques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P8" i="2"/>
  <c r="N8" i="2"/>
  <c r="M8" i="2"/>
  <c r="O8" i="2" s="1"/>
  <c r="Q7" i="2"/>
  <c r="P7" i="2"/>
  <c r="N7" i="2"/>
  <c r="M7" i="2"/>
  <c r="O7" i="2" s="1"/>
  <c r="E9" i="1" s="1"/>
  <c r="Q6" i="2"/>
  <c r="P6" i="2"/>
  <c r="O6" i="2"/>
  <c r="N6" i="2"/>
  <c r="M6" i="2"/>
  <c r="Q5" i="2"/>
  <c r="P5" i="2"/>
  <c r="N5" i="2"/>
  <c r="O5" i="2" s="1"/>
  <c r="M5" i="2"/>
  <c r="Q4" i="2"/>
  <c r="P4" i="2"/>
  <c r="N4" i="2"/>
  <c r="M4" i="2"/>
  <c r="O4" i="2" s="1"/>
  <c r="C9" i="1" s="1"/>
  <c r="Q3" i="2"/>
  <c r="P3" i="2"/>
  <c r="O3" i="2"/>
  <c r="N3" i="2"/>
  <c r="M3" i="2"/>
  <c r="Q2" i="2"/>
  <c r="P2" i="2"/>
  <c r="B12" i="1" s="1"/>
  <c r="N2" i="2"/>
  <c r="M9" i="1" s="1"/>
  <c r="M2" i="2"/>
  <c r="M12" i="1"/>
  <c r="L12" i="1"/>
  <c r="K12" i="1"/>
  <c r="J12" i="1"/>
  <c r="I12" i="1"/>
  <c r="E12" i="1"/>
  <c r="J19" i="1" s="1"/>
  <c r="D12" i="1"/>
  <c r="D16" i="1" s="1"/>
  <c r="M18" i="1" s="1"/>
  <c r="C12" i="1"/>
  <c r="J17" i="1" s="1"/>
  <c r="M11" i="1"/>
  <c r="L11" i="1"/>
  <c r="K11" i="1"/>
  <c r="J11" i="1"/>
  <c r="I11" i="1"/>
  <c r="E11" i="1"/>
  <c r="D11" i="1"/>
  <c r="C11" i="1"/>
  <c r="M10" i="1"/>
  <c r="L10" i="1"/>
  <c r="K10" i="1"/>
  <c r="J10" i="1"/>
  <c r="I10" i="1"/>
  <c r="E10" i="1"/>
  <c r="D10" i="1"/>
  <c r="C10" i="1"/>
  <c r="L9" i="1"/>
  <c r="K9" i="1"/>
  <c r="I9" i="1"/>
  <c r="D9" i="1"/>
  <c r="I18" i="1" s="1"/>
  <c r="J16" i="1" l="1"/>
  <c r="B13" i="1"/>
  <c r="K16" i="1" s="1"/>
  <c r="O2" i="2"/>
  <c r="B9" i="1" s="1"/>
  <c r="B15" i="1" s="1"/>
  <c r="B11" i="1"/>
  <c r="J9" i="1"/>
  <c r="C19" i="1"/>
  <c r="C13" i="1"/>
  <c r="K17" i="1" s="1"/>
  <c r="D19" i="1"/>
  <c r="D13" i="1"/>
  <c r="B10" i="1"/>
  <c r="E19" i="1"/>
  <c r="E13" i="1"/>
  <c r="K19" i="1" s="1"/>
  <c r="E18" i="1"/>
  <c r="I19" i="1"/>
  <c r="E15" i="1"/>
  <c r="I17" i="1"/>
  <c r="C15" i="1"/>
  <c r="C17" i="1"/>
  <c r="J18" i="1"/>
  <c r="D15" i="1"/>
  <c r="D17" i="1"/>
  <c r="E17" i="1"/>
  <c r="B16" i="1"/>
  <c r="M16" i="1" s="1"/>
  <c r="C16" i="1"/>
  <c r="M17" i="1" s="1"/>
  <c r="E16" i="1"/>
  <c r="M19" i="1" s="1"/>
  <c r="D18" i="1"/>
  <c r="C18" i="1" l="1"/>
  <c r="I16" i="1"/>
  <c r="B19" i="1"/>
  <c r="K18" i="1"/>
  <c r="D14" i="1"/>
  <c r="L18" i="1" s="1"/>
  <c r="C14" i="1"/>
  <c r="L17" i="1" s="1"/>
  <c r="B14" i="1"/>
  <c r="L16" i="1" s="1"/>
  <c r="E14" i="1"/>
  <c r="L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tc={E0A5A848-4ECA-4D3A-BC9C-425E1E775316}</author>
  </authors>
  <commentList>
    <comment ref="F9" authorId="0" shapeId="0" xr:uid="{E0A5A848-4ECA-4D3A-BC9C-425E1E7753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@Pardo, Viviana US/KOP </t>
      </text>
    </comment>
  </commentList>
</comments>
</file>

<file path=xl/sharedStrings.xml><?xml version="1.0" encoding="utf-8"?>
<sst xmlns="http://schemas.openxmlformats.org/spreadsheetml/2006/main" count="153" uniqueCount="95">
  <si>
    <t>Month</t>
  </si>
  <si>
    <t>Invoice Date</t>
  </si>
  <si>
    <t>Invoice No</t>
  </si>
  <si>
    <t>Document Type</t>
  </si>
  <si>
    <t>Item #</t>
  </si>
  <si>
    <t>Material</t>
  </si>
  <si>
    <t>Description</t>
  </si>
  <si>
    <t>Qty</t>
  </si>
  <si>
    <t>Unit Price</t>
  </si>
  <si>
    <t>Amount</t>
  </si>
  <si>
    <t>Is Credit</t>
  </si>
  <si>
    <t>Days in Month</t>
  </si>
  <si>
    <t>Invoice Amount</t>
  </si>
  <si>
    <t>Credit Amount</t>
  </si>
  <si>
    <t>Net Amount</t>
  </si>
  <si>
    <t>Storage Qty Used for KPI</t>
  </si>
  <si>
    <t>Post-30 Qty Used for KPI</t>
  </si>
  <si>
    <t>Dec-2025</t>
  </si>
  <si>
    <t>341033685</t>
  </si>
  <si>
    <t>Invoice</t>
  </si>
  <si>
    <t>5704621</t>
  </si>
  <si>
    <t>RECEIVING, STORAGE FEE 1ST- END OF MONTH</t>
  </si>
  <si>
    <t>5704618</t>
  </si>
  <si>
    <t>STORAGE FEE MONTHLY POST 30 DAYS</t>
  </si>
  <si>
    <t>Jan-2026</t>
  </si>
  <si>
    <t>341291715</t>
  </si>
  <si>
    <t>341545159</t>
  </si>
  <si>
    <t>Credit Memo</t>
  </si>
  <si>
    <t>Feb-2026</t>
  </si>
  <si>
    <t>341525270</t>
  </si>
  <si>
    <t>Mar-2026</t>
  </si>
  <si>
    <t>341829896</t>
  </si>
  <si>
    <t>KPI</t>
  </si>
  <si>
    <t>Formula</t>
  </si>
  <si>
    <t>Explanation</t>
  </si>
  <si>
    <t>Estimated Avg Daily Positions</t>
  </si>
  <si>
    <t>Total Storage Qty / Days in Month</t>
  </si>
  <si>
    <t>Estimated average daily warehouse footprint. Valid only if Qty is a daily storage metric.</t>
  </si>
  <si>
    <t>Cost per Storage Position / Month</t>
  </si>
  <si>
    <t>Net Storage Spend / Estimated Avg Daily Positions</t>
  </si>
  <si>
    <t>Estimated monthly cost for one average storage position.</t>
  </si>
  <si>
    <t>Cost per Qty Unit</t>
  </si>
  <si>
    <t>Net Storage Spend / Total Storage Qty</t>
  </si>
  <si>
    <t>Effective cost per billed Qty unit.</t>
  </si>
  <si>
    <t>Inventory Aging %</t>
  </si>
  <si>
    <t>Post-30-Day Qty / Total Storage Qty</t>
  </si>
  <si>
    <t>Share of storage volume tied to inventory beyond 30 days.</t>
  </si>
  <si>
    <t>Storage Volume Trend</t>
  </si>
  <si>
    <t>(Current Month Total Qty - Prior Month Total Qty) / Prior Month Total Qty</t>
  </si>
  <si>
    <t>Month-over-month change in billed storage volume.</t>
  </si>
  <si>
    <t>Spend Trend</t>
  </si>
  <si>
    <t>(Current Month Net Spend - Prior Month Net Spend) / Prior Month Net Spend</t>
  </si>
  <si>
    <t>Month-over-month change in net spend.</t>
  </si>
  <si>
    <t>McKesson Storage KPI Summary</t>
  </si>
  <si>
    <t xml:space="preserve"> Summary</t>
  </si>
  <si>
    <t>Storage spend peaked in February at $35.9K and improved to $30.0K in March. The main cost driver is Item 10 standard receiving/storage volume, not post-30-day aging inventory. The estimated average daily storage positions assume McKesson Qty represents a daily storage metric such as pallet-days, bin-days, or location-days. McKesson should confirm the exact Qty definition before these are used as official RFQ benchmarks.</t>
  </si>
  <si>
    <t>Formula Followed</t>
  </si>
  <si>
    <t>Item 10 Qty</t>
  </si>
  <si>
    <t>Item 10 Amount</t>
  </si>
  <si>
    <t>Item 20 Qty</t>
  </si>
  <si>
    <t>Item 20 Amount</t>
  </si>
  <si>
    <t>Credit</t>
  </si>
  <si>
    <t>Total Storage Spend</t>
  </si>
  <si>
    <t>Invoice Amount - Credit Amount</t>
  </si>
  <si>
    <t>Gross Invoice Cost</t>
  </si>
  <si>
    <t>SUM invoice line amounts, excluding credit memos</t>
  </si>
  <si>
    <t>Credits</t>
  </si>
  <si>
    <t>SUM credit memo amounts</t>
  </si>
  <si>
    <t>Total Storage Qty</t>
  </si>
  <si>
    <t>Item 10 Qty + Item 20 Qty, excluding credit memos</t>
  </si>
  <si>
    <t>Net Spend</t>
  </si>
  <si>
    <t>Total Qty</t>
  </si>
  <si>
    <t>Avg Daily Positions</t>
  </si>
  <si>
    <t>Cost/Position</t>
  </si>
  <si>
    <t>Aging %</t>
  </si>
  <si>
    <t>N/A</t>
  </si>
  <si>
    <t>Billing Recovery Rate</t>
  </si>
  <si>
    <t>Credits / Gross Invoice Cost</t>
  </si>
  <si>
    <t>Unit Rate</t>
  </si>
  <si>
    <t>Business Meaning</t>
  </si>
  <si>
    <t>Main standard receiving/storage cost driver</t>
  </si>
  <si>
    <t>Aging inventory storage charge</t>
  </si>
  <si>
    <r>
      <rPr>
        <b/>
        <sz val="11"/>
        <rFont val="Carlito"/>
      </rPr>
      <t>Note:</t>
    </r>
    <r>
      <rPr>
        <sz val="11"/>
        <rFont val="Carlito"/>
      </rPr>
      <t xml:space="preserve"> The position-based KPIs are estimates. They assume the McKesson Qty field is a daily storage metric such as pallet-days, bin-days, or location-days. The first question for McKesson should be to define the Qty field for Item 5704621 and Item 5704618.</t>
    </r>
  </si>
  <si>
    <t>Topic</t>
  </si>
  <si>
    <t>Assumption / Question</t>
  </si>
  <si>
    <t>Qty Definition</t>
  </si>
  <si>
    <t>The invoices do not confirm whether Qty means pallet-days, bin-days, location-days, cases, vials, or another billing unit.</t>
  </si>
  <si>
    <t>Estimated Average Daily Positions</t>
  </si>
  <si>
    <t>Calculated as Total Qty / Days in Month. This is an estimate only until McKesson confirms the Qty definition.</t>
  </si>
  <si>
    <t>Question for McKesson</t>
  </si>
  <si>
    <t>What exactly does the Qty field represent for Item 5704621 and Item 5704618?</t>
  </si>
  <si>
    <t>Can McKesson provide the detailed storage report supporting each monthly invoice?</t>
  </si>
  <si>
    <t>Which SKUs generated the post-30-day storage charges in December and March?</t>
  </si>
  <si>
    <t>Can McKesson provide aging buckets: 0-30, 31-60, 61-90, and 90+ days?</t>
  </si>
  <si>
    <t>Note: Lets wait for MCKesson document invoice account creation before we ask the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</si>
</sst>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0.00"/>
    <numFmt numFmtId="166" formatCode="mm/dd/yyyy"/>
    <numFmt numFmtId="167" formatCode="#,##0.000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7"/>
      <name val="Carlito"/>
    </font>
    <font>
      <sz val="17"/>
      <name val="Carlito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" fontId="0" fillId="0" borderId="0" xfId="0" applyNumberFormat="1"/>
    <xf numFmtId="164" fontId="0" fillId="0" borderId="0" xfId="0" applyNumberFormat="1"/>
    <xf numFmtId="0" fontId="3" fillId="4" borderId="0" xfId="0" applyFont="1" applyFill="1" applyAlignment="1">
      <alignment wrapText="1"/>
    </xf>
    <xf numFmtId="10" fontId="0" fillId="0" borderId="0" xfId="0" applyNumberFormat="1"/>
    <xf numFmtId="0" fontId="0" fillId="7" borderId="0" xfId="0" applyFill="1"/>
    <xf numFmtId="166" fontId="0" fillId="7" borderId="0" xfId="0" applyNumberFormat="1" applyFill="1"/>
    <xf numFmtId="167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166" fontId="0" fillId="8" borderId="0" xfId="0" applyNumberFormat="1" applyFill="1"/>
    <xf numFmtId="167" fontId="0" fillId="8" borderId="0" xfId="0" applyNumberFormat="1" applyFill="1"/>
    <xf numFmtId="164" fontId="0" fillId="8" borderId="0" xfId="0" applyNumberFormat="1" applyFill="1"/>
    <xf numFmtId="0" fontId="0" fillId="9" borderId="0" xfId="0" applyFill="1"/>
    <xf numFmtId="166" fontId="0" fillId="9" borderId="0" xfId="0" applyNumberFormat="1" applyFill="1"/>
    <xf numFmtId="167" fontId="0" fillId="9" borderId="0" xfId="0" applyNumberFormat="1" applyFill="1"/>
    <xf numFmtId="164" fontId="0" fillId="9" borderId="0" xfId="0" applyNumberFormat="1" applyFill="1"/>
    <xf numFmtId="0" fontId="0" fillId="10" borderId="0" xfId="0" applyFill="1"/>
    <xf numFmtId="166" fontId="0" fillId="10" borderId="0" xfId="0" applyNumberFormat="1" applyFill="1"/>
    <xf numFmtId="167" fontId="0" fillId="10" borderId="0" xfId="0" applyNumberFormat="1" applyFill="1"/>
    <xf numFmtId="164" fontId="0" fillId="10" borderId="0" xfId="0" applyNumberFormat="1" applyFill="1"/>
    <xf numFmtId="0" fontId="3" fillId="4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0" fontId="0" fillId="12" borderId="1" xfId="0" applyFill="1" applyBorder="1" applyAlignment="1">
      <alignment horizontal="center" wrapText="1"/>
    </xf>
    <xf numFmtId="0" fontId="0" fillId="12" borderId="1" xfId="0" applyFill="1" applyBorder="1" applyAlignment="1">
      <alignment wrapText="1"/>
    </xf>
    <xf numFmtId="165" fontId="0" fillId="12" borderId="1" xfId="0" applyNumberForma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</cellXfs>
  <cellStyles count="1">
    <cellStyle name="Normal" xfId="0" builtinId="0"/>
  </cellStyles>
  <dxfs count="45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5" formatCode="\$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7" formatCode="#,##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7" formatCode="#,##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\$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7" formatCode="#,##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mm/d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do, Viviana US/KOP" id="{CEA1A025-FAD1-4F36-9B4C-F61B8F66B52C}" userId="Viviana.Pardo@cslbehring.com" providerId="PeoplePicker"/>
  <person displayName="Tahiri, Klodjan US/KOP EXT" id="{3609563F-666A-47F6-829C-9C389BA7C448}" userId="S::Klodjan.Tahiri@cslbehring.com::e1781094-7b80-423a-902c-92f87295e10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50F11-1E5F-440E-BAA7-6E04962CA131}" name="Table1" displayName="Table1" ref="A1:Q8" totalsRowShown="0" headerRowDxfId="44" dataDxfId="43">
  <tableColumns count="17">
    <tableColumn id="1" xr3:uid="{C0B76FE6-30A8-4130-860B-D044268BEC6C}" name="Month"/>
    <tableColumn id="2" xr3:uid="{02F09415-BCBF-4D14-96F1-E05A5838E463}" name="Invoice Date" dataDxfId="42"/>
    <tableColumn id="3" xr3:uid="{23B6851E-69D0-40F8-82AC-09BA822D2FA1}" name="Invoice No"/>
    <tableColumn id="4" xr3:uid="{FE780550-1936-4C73-B423-3E0AB143D0D1}" name="Document Type"/>
    <tableColumn id="5" xr3:uid="{BAE2BB0B-4B4F-4865-94D0-FB87BE362016}" name="Item #"/>
    <tableColumn id="6" xr3:uid="{B139BC1D-F79B-474E-98F4-20D527EA81A5}" name="Material"/>
    <tableColumn id="7" xr3:uid="{9F1A7F6A-7FFE-49CD-A9B3-99BA022EAEEE}" name="Description"/>
    <tableColumn id="8" xr3:uid="{AEE14649-EEDB-4B8C-9CC3-2AE18A5A9591}" name="Qty" dataDxfId="41"/>
    <tableColumn id="9" xr3:uid="{7EA15F02-558A-4B7E-808A-D31DD68AD7B9}" name="Unit Price" dataDxfId="40"/>
    <tableColumn id="10" xr3:uid="{563D555E-AB46-49F6-A038-90F371B37779}" name="Amount" dataDxfId="39"/>
    <tableColumn id="11" xr3:uid="{2950EDAD-A288-4620-A2BD-E57D2B4BC432}" name="Is Credit"/>
    <tableColumn id="12" xr3:uid="{8BC98986-AA19-45C4-B42C-092CBAAA7B6E}" name="Days in Month"/>
    <tableColumn id="13" xr3:uid="{3D1F71B5-4CD4-4F79-A82E-E8F38DCD530C}" name="Invoice Amount" dataDxfId="38">
      <calculatedColumnFormula>IF($K2=0,$J2,0)</calculatedColumnFormula>
    </tableColumn>
    <tableColumn id="14" xr3:uid="{A9D0B14B-AF7F-44BE-B853-68C74457363B}" name="Credit Amount" dataDxfId="37">
      <calculatedColumnFormula>IF($K2=1,$J2,0)</calculatedColumnFormula>
    </tableColumn>
    <tableColumn id="15" xr3:uid="{B2A9DD23-B5D6-429A-8567-D236E1119474}" name="Net Amount" dataDxfId="36">
      <calculatedColumnFormula>$M2-$N2</calculatedColumnFormula>
    </tableColumn>
    <tableColumn id="16" xr3:uid="{2A5C57B8-2A1C-4835-9AB9-0E269CBABBCC}" name="Storage Qty Used for KPI" dataDxfId="35">
      <calculatedColumnFormula>IF($K2=0,$H2,0)</calculatedColumnFormula>
    </tableColumn>
    <tableColumn id="17" xr3:uid="{440E91C5-7D16-4FDC-8AFE-76F8C8CD1062}" name="Post-30 Qty Used for KPI" dataDxfId="34">
      <calculatedColumnFormula>IF(AND($K2=0,$E2=20),$H2,0)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7591E5-F8DC-44C0-BE4A-B32BAE0AF04D}" name="Table2" displayName="Table2" ref="A1:C7" totalsRowShown="0" headerRowDxfId="33">
  <autoFilter ref="A1:C7" xr:uid="{447591E5-F8DC-44C0-BE4A-B32BAE0AF04D}"/>
  <tableColumns count="3">
    <tableColumn id="1" xr3:uid="{EFB79DAA-1C4D-4C9B-A6AD-40C19B817D43}" name="KPI"/>
    <tableColumn id="2" xr3:uid="{BABD97DE-F904-47C8-877F-318871875C07}" name="Formula"/>
    <tableColumn id="3" xr3:uid="{4F0EB8B7-8233-4049-980F-FF518E6CC8F9}" name="Explana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A043BC-D296-4077-9E38-FF93F8491FCF}" name="Table4" displayName="Table4" ref="H15:M19" totalsRowShown="0" headerRowDxfId="32" dataDxfId="31">
  <tableColumns count="6">
    <tableColumn id="1" xr3:uid="{C0B388DC-5712-4497-ACEE-C32DBCAFD625}" name="Month"/>
    <tableColumn id="2" xr3:uid="{B253530B-2526-48A7-B08E-8AD4157ABB80}" name="Net Spend" dataDxfId="30"/>
    <tableColumn id="3" xr3:uid="{32AF6E6E-09C1-468E-9025-CF4CC2D1538C}" name="Total Qty" dataDxfId="29"/>
    <tableColumn id="4" xr3:uid="{814B0232-3542-4FA3-83F9-907DAD988248}" name="Avg Daily Positions" dataDxfId="28"/>
    <tableColumn id="5" xr3:uid="{98BF8776-9E91-4171-B62E-5688CFFFB0A0}" name="Cost/Position" dataDxfId="27"/>
    <tableColumn id="6" xr3:uid="{92EDB6E4-E3D2-4D86-A936-5AB66A256175}" name="Aging %" dataDxfId="2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CFBBD5-3310-4416-BE22-7B719F44C063}" name="Table5" displayName="Table5" ref="H8:M12" totalsRowShown="0" headerRowDxfId="25" dataDxfId="24">
  <tableColumns count="6">
    <tableColumn id="1" xr3:uid="{697EBE6B-0B1A-417D-9B84-2CF58320A7FB}" name="Month"/>
    <tableColumn id="2" xr3:uid="{BE56A2B7-9606-4818-984F-A459922615B0}" name="Item 10 Qty" dataDxfId="23">
      <calculatedColumnFormula>SUMIFS(Invoice_Data!$H:$H,Invoice_Data!$A:$A,H9,Invoice_Data!$E:$E,10,Invoice_Data!$K:$K,0)</calculatedColumnFormula>
    </tableColumn>
    <tableColumn id="3" xr3:uid="{8C0AB985-CA0E-4DAC-A9C8-6E1906F5B14B}" name="Item 10 Amount" dataDxfId="22">
      <calculatedColumnFormula>SUMIFS(Invoice_Data!$M:$M,Invoice_Data!$A:$A,H9,Invoice_Data!$E:$E,10)</calculatedColumnFormula>
    </tableColumn>
    <tableColumn id="4" xr3:uid="{6B8FEB1A-1A89-4DDE-B121-74300DEFA9DB}" name="Item 20 Qty" dataDxfId="21">
      <calculatedColumnFormula>SUMIFS(Invoice_Data!$H:$H,Invoice_Data!$A:$A,H9,Invoice_Data!$E:$E,20,Invoice_Data!$K:$K,0)</calculatedColumnFormula>
    </tableColumn>
    <tableColumn id="5" xr3:uid="{B43405F2-ECA7-4FBB-804D-39EAFD256440}" name="Item 20 Amount" dataDxfId="20">
      <calculatedColumnFormula>SUMIFS(Invoice_Data!$M:$M,Invoice_Data!$A:$A,H9,Invoice_Data!$E:$E,20)</calculatedColumnFormula>
    </tableColumn>
    <tableColumn id="6" xr3:uid="{3099B9C9-B1AC-4142-A9A9-2F1449248E34}" name="Credit" dataDxfId="19">
      <calculatedColumnFormula>SUMIFS(Invoice_Data!$N:$N,Invoice_Data!$A:$A,H9)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C9522-A21C-4056-BB7B-0C65DADE966A}" name="Table6" displayName="Table6" ref="A8:F19" totalsRowShown="0" headerRowDxfId="18" dataDxfId="17">
  <tableColumns count="6">
    <tableColumn id="1" xr3:uid="{D2C2E51C-9A07-4C8A-B9C4-32192FD7ED31}" name="KPI" dataDxfId="16"/>
    <tableColumn id="2" xr3:uid="{97019D47-F067-4E37-99AB-569503D94195}" name="Dec-2025" dataDxfId="15"/>
    <tableColumn id="3" xr3:uid="{B120EB1F-7D57-4EAD-BFA2-CC0FFACC5D4B}" name="Jan-2026" dataDxfId="14"/>
    <tableColumn id="4" xr3:uid="{5DA4EFFC-CC86-4439-9D2F-99EF9CD4987E}" name="Feb-2026" dataDxfId="13"/>
    <tableColumn id="5" xr3:uid="{9BD35DBE-550A-47DA-8BEF-63BB3040F5E5}" name="Mar-2026" dataDxfId="12"/>
    <tableColumn id="6" xr3:uid="{0D44B6E9-6DA9-4703-BE34-05310141CD8B}" name="Formula Followed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DC2A00-AA23-4286-9C0D-13A5333E6FF4}" name="Table7" displayName="Table7" ref="A22:E24" totalsRowShown="0" headerRowDxfId="10" dataDxfId="9">
  <autoFilter ref="A22:E24" xr:uid="{78DC2A00-AA23-4286-9C0D-13A5333E6FF4}"/>
  <tableColumns count="5">
    <tableColumn id="1" xr3:uid="{06191DFE-CB36-44D4-B91C-6E65ED39BD28}" name="Item #" dataDxfId="8"/>
    <tableColumn id="2" xr3:uid="{81C93D75-692E-48B9-9477-3C159760E9CA}" name="Material" dataDxfId="7"/>
    <tableColumn id="3" xr3:uid="{F38A296E-0FF7-4A85-9882-E211F652C859}" name="Description" dataDxfId="6"/>
    <tableColumn id="4" xr3:uid="{4C90C2C3-36BD-45EF-B729-C60C9A163918}" name="Unit Rate" dataDxfId="5"/>
    <tableColumn id="5" xr3:uid="{419A10DE-F8F5-4AFD-AC52-28CF6B564CD2}" name="Business Meaning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2D992-8EF5-4219-9091-A0E5D106646B}" name="Table3" displayName="Table3" ref="A1:B7" totalsRowShown="0" headerRowDxfId="3">
  <autoFilter ref="A1:B7" xr:uid="{8FB2D992-8EF5-4219-9091-A0E5D106646B}"/>
  <tableColumns count="2">
    <tableColumn id="1" xr3:uid="{4D2E5660-892C-432E-A03A-FA05997B13E1}" name="Topic"/>
    <tableColumn id="2" xr3:uid="{A3009B7D-6091-426C-9128-3D0CE9D01B1D}" name="Assumption / Ques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6-04T13:53:46.43" personId="{3609563F-666A-47F6-829C-9C389BA7C448}" id="{E0A5A848-4ECA-4D3A-BC9C-425E1E775316}">
    <text xml:space="preserve">@Pardo, Viviana US/KOP </text>
    <mentions>
      <mention mentionpersonId="{CEA1A025-FAD1-4F36-9B4C-F61B8F66B52C}" mentionId="{BB672E78-0082-4742-9717-9AF4705A090F}" startIndex="0" length="2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microsoft.com/office/2017/10/relationships/threadedComment" Target="../threadedComments/threadedComment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6" Type="http://schemas.openxmlformats.org/officeDocument/2006/relationships/comments" Target="../comments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topLeftCell="E1" zoomScale="115" zoomScaleNormal="115" workbookViewId="0">
      <selection activeCell="L20" sqref="L20"/>
    </sheetView>
  </sheetViews>
  <sheetFormatPr defaultRowHeight="14.25"/>
  <cols>
    <col min="1" max="1" width="8.875" bestFit="1" customWidth="1"/>
    <col min="2" max="2" width="13.875" customWidth="1"/>
    <col min="3" max="3" width="12.25" customWidth="1"/>
    <col min="4" max="4" width="16.625" customWidth="1"/>
    <col min="5" max="5" width="8" customWidth="1"/>
    <col min="6" max="6" width="9.875" customWidth="1"/>
    <col min="7" max="7" width="44.75" bestFit="1" customWidth="1"/>
    <col min="8" max="8" width="10.875" bestFit="1" customWidth="1"/>
    <col min="9" max="9" width="11.5" customWidth="1"/>
    <col min="10" max="10" width="10.875" bestFit="1" customWidth="1"/>
    <col min="11" max="11" width="10.25" customWidth="1"/>
    <col min="12" max="12" width="15.25" customWidth="1"/>
    <col min="13" max="13" width="16.375" customWidth="1"/>
    <col min="14" max="14" width="15.375" customWidth="1"/>
    <col min="15" max="15" width="13" customWidth="1"/>
    <col min="16" max="16" width="25" customWidth="1"/>
    <col min="17" max="17" width="24.625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2" t="s">
        <v>17</v>
      </c>
      <c r="B2" s="13">
        <v>46022</v>
      </c>
      <c r="C2" s="12" t="s">
        <v>18</v>
      </c>
      <c r="D2" s="12" t="s">
        <v>19</v>
      </c>
      <c r="E2" s="12">
        <v>10</v>
      </c>
      <c r="F2" s="12" t="s">
        <v>20</v>
      </c>
      <c r="G2" s="12" t="s">
        <v>21</v>
      </c>
      <c r="H2" s="14">
        <v>35746.9</v>
      </c>
      <c r="I2" s="15">
        <v>0.66</v>
      </c>
      <c r="J2" s="15">
        <v>23592.95</v>
      </c>
      <c r="K2" s="12">
        <v>0</v>
      </c>
      <c r="L2" s="12">
        <v>31</v>
      </c>
      <c r="M2" s="15">
        <f t="shared" ref="M2:M8" si="0">IF($K2=0,$J2,0)</f>
        <v>23592.95</v>
      </c>
      <c r="N2" s="15">
        <f t="shared" ref="N2:N8" si="1">IF($K2=1,$J2,0)</f>
        <v>0</v>
      </c>
      <c r="O2" s="15">
        <f t="shared" ref="O2:O8" si="2">$M2-$N2</f>
        <v>23592.95</v>
      </c>
      <c r="P2" s="14">
        <f t="shared" ref="P2:P8" si="3">IF($K2=0,$H2,0)</f>
        <v>35746.9</v>
      </c>
      <c r="Q2" s="14">
        <f t="shared" ref="Q2:Q8" si="4">IF(AND($K2=0,$E2=20),$H2,0)</f>
        <v>0</v>
      </c>
    </row>
    <row r="3" spans="1:17">
      <c r="A3" s="12" t="s">
        <v>17</v>
      </c>
      <c r="B3" s="13">
        <v>46022</v>
      </c>
      <c r="C3" s="12" t="s">
        <v>18</v>
      </c>
      <c r="D3" s="12" t="s">
        <v>19</v>
      </c>
      <c r="E3" s="12">
        <v>20</v>
      </c>
      <c r="F3" s="12" t="s">
        <v>22</v>
      </c>
      <c r="G3" s="12" t="s">
        <v>23</v>
      </c>
      <c r="H3" s="14">
        <v>353.41399999999999</v>
      </c>
      <c r="I3" s="15">
        <v>0.41</v>
      </c>
      <c r="J3" s="15">
        <v>144.9</v>
      </c>
      <c r="K3" s="12">
        <v>0</v>
      </c>
      <c r="L3" s="12">
        <v>31</v>
      </c>
      <c r="M3" s="15">
        <f t="shared" si="0"/>
        <v>144.9</v>
      </c>
      <c r="N3" s="15">
        <f t="shared" si="1"/>
        <v>0</v>
      </c>
      <c r="O3" s="15">
        <f t="shared" si="2"/>
        <v>144.9</v>
      </c>
      <c r="P3" s="14">
        <f t="shared" si="3"/>
        <v>353.41399999999999</v>
      </c>
      <c r="Q3" s="14">
        <f t="shared" si="4"/>
        <v>353.41399999999999</v>
      </c>
    </row>
    <row r="4" spans="1:17">
      <c r="A4" s="24" t="s">
        <v>24</v>
      </c>
      <c r="B4" s="25">
        <v>46053</v>
      </c>
      <c r="C4" s="24" t="s">
        <v>25</v>
      </c>
      <c r="D4" s="24" t="s">
        <v>19</v>
      </c>
      <c r="E4" s="24">
        <v>10</v>
      </c>
      <c r="F4" s="24" t="s">
        <v>20</v>
      </c>
      <c r="G4" s="24" t="s">
        <v>21</v>
      </c>
      <c r="H4" s="26">
        <v>52654.930999999997</v>
      </c>
      <c r="I4" s="27">
        <v>0.66</v>
      </c>
      <c r="J4" s="27">
        <v>34752.25</v>
      </c>
      <c r="K4" s="24">
        <v>0</v>
      </c>
      <c r="L4" s="24">
        <v>31</v>
      </c>
      <c r="M4" s="27">
        <f t="shared" si="0"/>
        <v>34752.25</v>
      </c>
      <c r="N4" s="27">
        <f t="shared" si="1"/>
        <v>0</v>
      </c>
      <c r="O4" s="27">
        <f t="shared" si="2"/>
        <v>34752.25</v>
      </c>
      <c r="P4" s="26">
        <f t="shared" si="3"/>
        <v>52654.930999999997</v>
      </c>
      <c r="Q4" s="26">
        <f t="shared" si="4"/>
        <v>0</v>
      </c>
    </row>
    <row r="5" spans="1:17">
      <c r="A5" s="24" t="s">
        <v>24</v>
      </c>
      <c r="B5" s="25">
        <v>46091</v>
      </c>
      <c r="C5" s="24" t="s">
        <v>26</v>
      </c>
      <c r="D5" s="24" t="s">
        <v>27</v>
      </c>
      <c r="E5" s="24">
        <v>10</v>
      </c>
      <c r="F5" s="24" t="s">
        <v>20</v>
      </c>
      <c r="G5" s="24" t="s">
        <v>21</v>
      </c>
      <c r="H5" s="26">
        <v>1</v>
      </c>
      <c r="I5" s="27">
        <v>1688.23</v>
      </c>
      <c r="J5" s="27">
        <v>1688.23</v>
      </c>
      <c r="K5" s="24">
        <v>1</v>
      </c>
      <c r="L5" s="24">
        <v>31</v>
      </c>
      <c r="M5" s="27">
        <f t="shared" si="0"/>
        <v>0</v>
      </c>
      <c r="N5" s="27">
        <f t="shared" si="1"/>
        <v>1688.23</v>
      </c>
      <c r="O5" s="27">
        <f t="shared" si="2"/>
        <v>-1688.23</v>
      </c>
      <c r="P5" s="26">
        <f t="shared" si="3"/>
        <v>0</v>
      </c>
      <c r="Q5" s="26">
        <f t="shared" si="4"/>
        <v>0</v>
      </c>
    </row>
    <row r="6" spans="1:17">
      <c r="A6" s="16" t="s">
        <v>28</v>
      </c>
      <c r="B6" s="17">
        <v>46081</v>
      </c>
      <c r="C6" s="16" t="s">
        <v>29</v>
      </c>
      <c r="D6" s="16" t="s">
        <v>19</v>
      </c>
      <c r="E6" s="16">
        <v>10</v>
      </c>
      <c r="F6" s="16" t="s">
        <v>20</v>
      </c>
      <c r="G6" s="16" t="s">
        <v>21</v>
      </c>
      <c r="H6" s="18">
        <v>54380.4</v>
      </c>
      <c r="I6" s="19">
        <v>0.66</v>
      </c>
      <c r="J6" s="19">
        <v>35891.06</v>
      </c>
      <c r="K6" s="16">
        <v>0</v>
      </c>
      <c r="L6" s="16">
        <v>28</v>
      </c>
      <c r="M6" s="19">
        <f t="shared" si="0"/>
        <v>35891.06</v>
      </c>
      <c r="N6" s="19">
        <f t="shared" si="1"/>
        <v>0</v>
      </c>
      <c r="O6" s="19">
        <f t="shared" si="2"/>
        <v>35891.06</v>
      </c>
      <c r="P6" s="18">
        <f t="shared" si="3"/>
        <v>54380.4</v>
      </c>
      <c r="Q6" s="18">
        <f t="shared" si="4"/>
        <v>0</v>
      </c>
    </row>
    <row r="7" spans="1:17">
      <c r="A7" s="20" t="s">
        <v>30</v>
      </c>
      <c r="B7" s="21">
        <v>46112</v>
      </c>
      <c r="C7" s="20" t="s">
        <v>31</v>
      </c>
      <c r="D7" s="20" t="s">
        <v>19</v>
      </c>
      <c r="E7" s="20">
        <v>10</v>
      </c>
      <c r="F7" s="20" t="s">
        <v>20</v>
      </c>
      <c r="G7" s="20" t="s">
        <v>21</v>
      </c>
      <c r="H7" s="22">
        <v>44607.877999999997</v>
      </c>
      <c r="I7" s="23">
        <v>0.66</v>
      </c>
      <c r="J7" s="23">
        <v>29441.200000000001</v>
      </c>
      <c r="K7" s="20">
        <v>0</v>
      </c>
      <c r="L7" s="20">
        <v>31</v>
      </c>
      <c r="M7" s="23">
        <f t="shared" si="0"/>
        <v>29441.200000000001</v>
      </c>
      <c r="N7" s="23">
        <f t="shared" si="1"/>
        <v>0</v>
      </c>
      <c r="O7" s="23">
        <f t="shared" si="2"/>
        <v>29441.200000000001</v>
      </c>
      <c r="P7" s="22">
        <f t="shared" si="3"/>
        <v>44607.877999999997</v>
      </c>
      <c r="Q7" s="22">
        <f t="shared" si="4"/>
        <v>0</v>
      </c>
    </row>
    <row r="8" spans="1:17">
      <c r="A8" s="20" t="s">
        <v>30</v>
      </c>
      <c r="B8" s="21">
        <v>46112</v>
      </c>
      <c r="C8" s="20" t="s">
        <v>31</v>
      </c>
      <c r="D8" s="20" t="s">
        <v>19</v>
      </c>
      <c r="E8" s="20">
        <v>20</v>
      </c>
      <c r="F8" s="20" t="s">
        <v>22</v>
      </c>
      <c r="G8" s="20" t="s">
        <v>23</v>
      </c>
      <c r="H8" s="22">
        <v>1323.5409999999999</v>
      </c>
      <c r="I8" s="23">
        <v>0.41</v>
      </c>
      <c r="J8" s="23">
        <v>542.65</v>
      </c>
      <c r="K8" s="20">
        <v>0</v>
      </c>
      <c r="L8" s="20">
        <v>31</v>
      </c>
      <c r="M8" s="23">
        <f t="shared" si="0"/>
        <v>542.65</v>
      </c>
      <c r="N8" s="23">
        <f t="shared" si="1"/>
        <v>0</v>
      </c>
      <c r="O8" s="23">
        <f t="shared" si="2"/>
        <v>542.65</v>
      </c>
      <c r="P8" s="22">
        <f t="shared" si="3"/>
        <v>1323.5409999999999</v>
      </c>
      <c r="Q8" s="22">
        <f t="shared" si="4"/>
        <v>1323.5409999999999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30" zoomScaleNormal="130" workbookViewId="0">
      <selection activeCell="A3" sqref="A3"/>
    </sheetView>
  </sheetViews>
  <sheetFormatPr defaultRowHeight="14.25"/>
  <cols>
    <col min="1" max="1" width="27" customWidth="1"/>
    <col min="2" max="2" width="63.875" bestFit="1" customWidth="1"/>
    <col min="3" max="3" width="72.25" bestFit="1" customWidth="1"/>
  </cols>
  <sheetData>
    <row r="1" spans="1:3" ht="15">
      <c r="A1" s="10" t="s">
        <v>32</v>
      </c>
      <c r="B1" s="10" t="s">
        <v>33</v>
      </c>
      <c r="C1" s="10" t="s">
        <v>34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38</v>
      </c>
      <c r="B3" t="s">
        <v>39</v>
      </c>
      <c r="C3" t="s">
        <v>40</v>
      </c>
    </row>
    <row r="4" spans="1:3">
      <c r="A4" t="s">
        <v>41</v>
      </c>
      <c r="B4" t="s">
        <v>42</v>
      </c>
      <c r="C4" t="s">
        <v>43</v>
      </c>
    </row>
    <row r="5" spans="1:3">
      <c r="A5" t="s">
        <v>44</v>
      </c>
      <c r="B5" t="s">
        <v>45</v>
      </c>
      <c r="C5" t="s">
        <v>46</v>
      </c>
    </row>
    <row r="6" spans="1:3">
      <c r="A6" t="s">
        <v>47</v>
      </c>
      <c r="B6" t="s">
        <v>48</v>
      </c>
      <c r="C6" t="s">
        <v>49</v>
      </c>
    </row>
    <row r="7" spans="1:3">
      <c r="A7" t="s">
        <v>50</v>
      </c>
      <c r="B7" t="s">
        <v>51</v>
      </c>
      <c r="C7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7" zoomScale="115" zoomScaleNormal="115" workbookViewId="0">
      <selection activeCell="F9" sqref="F9"/>
    </sheetView>
  </sheetViews>
  <sheetFormatPr defaultRowHeight="14.25"/>
  <cols>
    <col min="1" max="1" width="28.625" bestFit="1" customWidth="1"/>
    <col min="2" max="2" width="14.875" customWidth="1"/>
    <col min="3" max="3" width="17.5" customWidth="1"/>
    <col min="4" max="4" width="13.375" customWidth="1"/>
    <col min="5" max="5" width="31.25" bestFit="1" customWidth="1"/>
    <col min="6" max="6" width="44.5" bestFit="1" customWidth="1"/>
    <col min="8" max="8" width="8.875" bestFit="1" customWidth="1"/>
    <col min="9" max="9" width="12.125" customWidth="1"/>
    <col min="10" max="10" width="15.625" customWidth="1"/>
    <col min="11" max="11" width="18.75" customWidth="1"/>
    <col min="12" max="12" width="15.625" customWidth="1"/>
    <col min="13" max="13" width="9.625" customWidth="1"/>
  </cols>
  <sheetData>
    <row r="1" spans="1:13" ht="18">
      <c r="A1" s="36" t="s">
        <v>53</v>
      </c>
      <c r="B1" s="36"/>
      <c r="C1" s="36"/>
      <c r="D1" s="36"/>
      <c r="E1" s="36"/>
      <c r="F1" s="36"/>
      <c r="G1" s="36"/>
      <c r="H1" s="36"/>
    </row>
    <row r="3" spans="1:13" ht="15">
      <c r="A3" s="1" t="s">
        <v>54</v>
      </c>
      <c r="B3" s="1"/>
      <c r="C3" s="1"/>
      <c r="D3" s="1"/>
      <c r="E3" s="1"/>
      <c r="F3" s="1"/>
      <c r="G3" s="1"/>
      <c r="H3" s="1"/>
    </row>
    <row r="4" spans="1:13" ht="54.95" customHeight="1">
      <c r="A4" s="37" t="s">
        <v>55</v>
      </c>
      <c r="B4" s="37"/>
      <c r="C4" s="37"/>
      <c r="D4" s="37"/>
      <c r="E4" s="37"/>
      <c r="F4" s="37"/>
      <c r="G4" s="37"/>
      <c r="H4" s="37"/>
    </row>
    <row r="5" spans="1:13" ht="54.95" customHeight="1">
      <c r="A5" s="37"/>
      <c r="B5" s="37"/>
      <c r="C5" s="37"/>
      <c r="D5" s="37"/>
      <c r="E5" s="37"/>
      <c r="F5" s="37"/>
      <c r="G5" s="37"/>
      <c r="H5" s="37"/>
    </row>
    <row r="6" spans="1:13" ht="54.95" customHeight="1">
      <c r="A6" s="37"/>
      <c r="B6" s="37"/>
      <c r="C6" s="37"/>
      <c r="D6" s="37"/>
      <c r="E6" s="37"/>
      <c r="F6" s="37"/>
      <c r="G6" s="37"/>
      <c r="H6" s="37"/>
    </row>
    <row r="8" spans="1:13" ht="15">
      <c r="A8" s="28" t="s">
        <v>32</v>
      </c>
      <c r="B8" s="28" t="s">
        <v>17</v>
      </c>
      <c r="C8" s="28" t="s">
        <v>24</v>
      </c>
      <c r="D8" s="28" t="s">
        <v>28</v>
      </c>
      <c r="E8" s="28" t="s">
        <v>30</v>
      </c>
      <c r="F8" s="28" t="s">
        <v>56</v>
      </c>
      <c r="H8" s="28" t="s">
        <v>0</v>
      </c>
      <c r="I8" s="28" t="s">
        <v>57</v>
      </c>
      <c r="J8" s="28" t="s">
        <v>58</v>
      </c>
      <c r="K8" s="28" t="s">
        <v>59</v>
      </c>
      <c r="L8" s="28" t="s">
        <v>60</v>
      </c>
      <c r="M8" s="28" t="s">
        <v>61</v>
      </c>
    </row>
    <row r="9" spans="1:13">
      <c r="A9" s="3" t="s">
        <v>62</v>
      </c>
      <c r="B9" s="5">
        <f>SUMIFS(Invoice_Data!$O:$O,Invoice_Data!$A:$A,B$8)</f>
        <v>23737.850000000002</v>
      </c>
      <c r="C9" s="5">
        <f>SUMIFS(Invoice_Data!$O:$O,Invoice_Data!$A:$A,C$8)</f>
        <v>33064.019999999997</v>
      </c>
      <c r="D9" s="5">
        <f>SUMIFS(Invoice_Data!$O:$O,Invoice_Data!$A:$A,D$8)</f>
        <v>35891.06</v>
      </c>
      <c r="E9" s="5">
        <f>SUMIFS(Invoice_Data!$O:$O,Invoice_Data!$A:$A,E$8)</f>
        <v>29983.850000000002</v>
      </c>
      <c r="F9" s="3" t="s">
        <v>63</v>
      </c>
      <c r="H9" t="s">
        <v>17</v>
      </c>
      <c r="I9" s="8">
        <f>SUMIFS(Invoice_Data!$H:$H,Invoice_Data!$A:$A,H9,Invoice_Data!$E:$E,10,Invoice_Data!$K:$K,0)</f>
        <v>35746.9</v>
      </c>
      <c r="J9" s="9">
        <f>SUMIFS(Invoice_Data!$M:$M,Invoice_Data!$A:$A,H9,Invoice_Data!$E:$E,10)</f>
        <v>23592.95</v>
      </c>
      <c r="K9" s="8">
        <f>SUMIFS(Invoice_Data!$H:$H,Invoice_Data!$A:$A,H9,Invoice_Data!$E:$E,20,Invoice_Data!$K:$K,0)</f>
        <v>353.41399999999999</v>
      </c>
      <c r="L9" s="9">
        <f>SUMIFS(Invoice_Data!$M:$M,Invoice_Data!$A:$A,H9,Invoice_Data!$E:$E,20)</f>
        <v>144.9</v>
      </c>
      <c r="M9" s="9">
        <f>SUMIFS(Invoice_Data!$N:$N,Invoice_Data!$A:$A,H9)</f>
        <v>0</v>
      </c>
    </row>
    <row r="10" spans="1:13">
      <c r="A10" s="3" t="s">
        <v>64</v>
      </c>
      <c r="B10" s="5">
        <f>SUMIFS(Invoice_Data!$M:$M,Invoice_Data!$A:$A,B$8)</f>
        <v>23737.850000000002</v>
      </c>
      <c r="C10" s="5">
        <f>SUMIFS(Invoice_Data!$M:$M,Invoice_Data!$A:$A,C$8)</f>
        <v>34752.25</v>
      </c>
      <c r="D10" s="5">
        <f>SUMIFS(Invoice_Data!$M:$M,Invoice_Data!$A:$A,D$8)</f>
        <v>35891.06</v>
      </c>
      <c r="E10" s="5">
        <f>SUMIFS(Invoice_Data!$M:$M,Invoice_Data!$A:$A,E$8)</f>
        <v>29983.850000000002</v>
      </c>
      <c r="F10" s="3" t="s">
        <v>65</v>
      </c>
      <c r="H10" t="s">
        <v>24</v>
      </c>
      <c r="I10" s="8">
        <f>SUMIFS(Invoice_Data!$H:$H,Invoice_Data!$A:$A,H10,Invoice_Data!$E:$E,10,Invoice_Data!$K:$K,0)</f>
        <v>52654.930999999997</v>
      </c>
      <c r="J10" s="9">
        <f>SUMIFS(Invoice_Data!$M:$M,Invoice_Data!$A:$A,H10,Invoice_Data!$E:$E,10)</f>
        <v>34752.25</v>
      </c>
      <c r="K10" s="8">
        <f>SUMIFS(Invoice_Data!$H:$H,Invoice_Data!$A:$A,H10,Invoice_Data!$E:$E,20,Invoice_Data!$K:$K,0)</f>
        <v>0</v>
      </c>
      <c r="L10" s="9">
        <f>SUMIFS(Invoice_Data!$M:$M,Invoice_Data!$A:$A,H10,Invoice_Data!$E:$E,20)</f>
        <v>0</v>
      </c>
      <c r="M10" s="9">
        <f>SUMIFS(Invoice_Data!$N:$N,Invoice_Data!$A:$A,H10)</f>
        <v>1688.23</v>
      </c>
    </row>
    <row r="11" spans="1:13">
      <c r="A11" s="3" t="s">
        <v>66</v>
      </c>
      <c r="B11" s="5">
        <f>SUMIFS(Invoice_Data!$N:$N,Invoice_Data!$A:$A,B$8)</f>
        <v>0</v>
      </c>
      <c r="C11" s="5">
        <f>SUMIFS(Invoice_Data!$N:$N,Invoice_Data!$A:$A,C$8)</f>
        <v>1688.23</v>
      </c>
      <c r="D11" s="5">
        <f>SUMIFS(Invoice_Data!$N:$N,Invoice_Data!$A:$A,D$8)</f>
        <v>0</v>
      </c>
      <c r="E11" s="5">
        <f>SUMIFS(Invoice_Data!$N:$N,Invoice_Data!$A:$A,E$8)</f>
        <v>0</v>
      </c>
      <c r="F11" s="3" t="s">
        <v>67</v>
      </c>
      <c r="H11" t="s">
        <v>28</v>
      </c>
      <c r="I11" s="8">
        <f>SUMIFS(Invoice_Data!$H:$H,Invoice_Data!$A:$A,H11,Invoice_Data!$E:$E,10,Invoice_Data!$K:$K,0)</f>
        <v>54380.4</v>
      </c>
      <c r="J11" s="9">
        <f>SUMIFS(Invoice_Data!$M:$M,Invoice_Data!$A:$A,H11,Invoice_Data!$E:$E,10)</f>
        <v>35891.06</v>
      </c>
      <c r="K11" s="8">
        <f>SUMIFS(Invoice_Data!$H:$H,Invoice_Data!$A:$A,H11,Invoice_Data!$E:$E,20,Invoice_Data!$K:$K,0)</f>
        <v>0</v>
      </c>
      <c r="L11" s="9">
        <f>SUMIFS(Invoice_Data!$M:$M,Invoice_Data!$A:$A,H11,Invoice_Data!$E:$E,20)</f>
        <v>0</v>
      </c>
      <c r="M11" s="9">
        <f>SUMIFS(Invoice_Data!$N:$N,Invoice_Data!$A:$A,H11)</f>
        <v>0</v>
      </c>
    </row>
    <row r="12" spans="1:13">
      <c r="A12" s="3" t="s">
        <v>68</v>
      </c>
      <c r="B12" s="6">
        <f>SUMIFS(Invoice_Data!$P:$P,Invoice_Data!$A:$A,B$8)</f>
        <v>36100.313999999998</v>
      </c>
      <c r="C12" s="6">
        <f>SUMIFS(Invoice_Data!$P:$P,Invoice_Data!$A:$A,C$8)</f>
        <v>52654.930999999997</v>
      </c>
      <c r="D12" s="6">
        <f>SUMIFS(Invoice_Data!$P:$P,Invoice_Data!$A:$A,D$8)</f>
        <v>54380.4</v>
      </c>
      <c r="E12" s="6">
        <f>SUMIFS(Invoice_Data!$P:$P,Invoice_Data!$A:$A,E$8)</f>
        <v>45931.418999999994</v>
      </c>
      <c r="F12" s="3" t="s">
        <v>69</v>
      </c>
      <c r="H12" t="s">
        <v>30</v>
      </c>
      <c r="I12" s="8">
        <f>SUMIFS(Invoice_Data!$H:$H,Invoice_Data!$A:$A,H12,Invoice_Data!$E:$E,10,Invoice_Data!$K:$K,0)</f>
        <v>44607.877999999997</v>
      </c>
      <c r="J12" s="9">
        <f>SUMIFS(Invoice_Data!$M:$M,Invoice_Data!$A:$A,H12,Invoice_Data!$E:$E,10)</f>
        <v>29441.200000000001</v>
      </c>
      <c r="K12" s="8">
        <f>SUMIFS(Invoice_Data!$H:$H,Invoice_Data!$A:$A,H12,Invoice_Data!$E:$E,20,Invoice_Data!$K:$K,0)</f>
        <v>1323.5409999999999</v>
      </c>
      <c r="L12" s="9">
        <f>SUMIFS(Invoice_Data!$M:$M,Invoice_Data!$A:$A,H12,Invoice_Data!$E:$E,20)</f>
        <v>542.65</v>
      </c>
      <c r="M12" s="9">
        <f>SUMIFS(Invoice_Data!$N:$N,Invoice_Data!$A:$A,H12)</f>
        <v>0</v>
      </c>
    </row>
    <row r="13" spans="1:13">
      <c r="A13" s="3" t="s">
        <v>35</v>
      </c>
      <c r="B13" s="6">
        <f>B12/_xlfn.SINGLE(_xlfn.MAXIFS(Invoice_Data!$L:$L,Invoice_Data!$A:$A,B$8))</f>
        <v>1164.526258064516</v>
      </c>
      <c r="C13" s="6">
        <f>C12/_xlfn.MAXIFS(Invoice_Data!$L:$L,Invoice_Data!$A:$A,C$8)</f>
        <v>1698.5461612903225</v>
      </c>
      <c r="D13" s="6">
        <f>D12/_xlfn.MAXIFS(Invoice_Data!$L:$L,Invoice_Data!$A:$A,D$8)</f>
        <v>1942.1571428571428</v>
      </c>
      <c r="E13" s="6">
        <f>E12/_xlfn.MAXIFS(Invoice_Data!$L:$L,Invoice_Data!$A:$A,E$8)</f>
        <v>1481.6586774193547</v>
      </c>
      <c r="F13" s="3" t="s">
        <v>36</v>
      </c>
    </row>
    <row r="14" spans="1:13">
      <c r="A14" s="3" t="s">
        <v>38</v>
      </c>
      <c r="B14" s="5">
        <f>IFERROR(B9/B13,0)</f>
        <v>20.384126021729344</v>
      </c>
      <c r="C14" s="5">
        <f>IFERROR(C9/C13,0)</f>
        <v>19.466070898469127</v>
      </c>
      <c r="D14" s="5">
        <f>IFERROR(D9/D13,0)</f>
        <v>18.479997940434419</v>
      </c>
      <c r="E14" s="5">
        <f>IFERROR(E9/E13,0)</f>
        <v>20.236678296396637</v>
      </c>
      <c r="F14" s="3" t="s">
        <v>39</v>
      </c>
    </row>
    <row r="15" spans="1:13" ht="15">
      <c r="A15" s="3" t="s">
        <v>41</v>
      </c>
      <c r="B15" s="5">
        <f>IFERROR(B9/B12,0)</f>
        <v>0.65755245231384973</v>
      </c>
      <c r="C15" s="5">
        <f>IFERROR(C9/C12,0)</f>
        <v>0.62793777091835901</v>
      </c>
      <c r="D15" s="5">
        <f>IFERROR(D9/D12,0)</f>
        <v>0.65999992644408645</v>
      </c>
      <c r="E15" s="5">
        <f>IFERROR(E9/E12,0)</f>
        <v>0.65279607407731088</v>
      </c>
      <c r="F15" s="3" t="s">
        <v>42</v>
      </c>
      <c r="H15" s="29" t="s">
        <v>0</v>
      </c>
      <c r="I15" s="29" t="s">
        <v>70</v>
      </c>
      <c r="J15" s="29" t="s">
        <v>71</v>
      </c>
      <c r="K15" s="29" t="s">
        <v>72</v>
      </c>
      <c r="L15" s="29" t="s">
        <v>73</v>
      </c>
      <c r="M15" s="29" t="s">
        <v>74</v>
      </c>
    </row>
    <row r="16" spans="1:13">
      <c r="A16" s="3" t="s">
        <v>44</v>
      </c>
      <c r="B16" s="7">
        <f>IFERROR(SUMIFS(Invoice_Data!$Q:$Q,Invoice_Data!$A:$A,B$8)/B12,0)</f>
        <v>9.7897763437736311E-3</v>
      </c>
      <c r="C16" s="7">
        <f>IFERROR(SUMIFS(Invoice_Data!$Q:$Q,Invoice_Data!$A:$A,C$8)/C12,0)</f>
        <v>0</v>
      </c>
      <c r="D16" s="7">
        <f>IFERROR(SUMIFS(Invoice_Data!$Q:$Q,Invoice_Data!$A:$A,D$8)/D12,0)</f>
        <v>0</v>
      </c>
      <c r="E16" s="7">
        <f>IFERROR(SUMIFS(Invoice_Data!$Q:$Q,Invoice_Data!$A:$A,E$8)/E12,0)</f>
        <v>2.8815591349355005E-2</v>
      </c>
      <c r="F16" s="3" t="s">
        <v>45</v>
      </c>
      <c r="H16" t="s">
        <v>17</v>
      </c>
      <c r="I16" s="9">
        <f>B9</f>
        <v>23737.850000000002</v>
      </c>
      <c r="J16" s="8">
        <f>B12</f>
        <v>36100.313999999998</v>
      </c>
      <c r="K16" s="8">
        <f>B13</f>
        <v>1164.526258064516</v>
      </c>
      <c r="L16" s="9">
        <f>B14</f>
        <v>20.384126021729344</v>
      </c>
      <c r="M16" s="11">
        <f>B16</f>
        <v>9.7897763437736311E-3</v>
      </c>
    </row>
    <row r="17" spans="1:13" ht="28.5">
      <c r="A17" s="3" t="s">
        <v>47</v>
      </c>
      <c r="B17" s="7" t="s">
        <v>75</v>
      </c>
      <c r="C17" s="7">
        <f>IFERROR((C12-B12)/B12,0)</f>
        <v>0.45857265950650733</v>
      </c>
      <c r="D17" s="7">
        <f>IFERROR((D12-C12)/C12,0)</f>
        <v>3.2769371590288567E-2</v>
      </c>
      <c r="E17" s="7">
        <f>IFERROR((E12-D12)/D12,0)</f>
        <v>-0.15536812895822771</v>
      </c>
      <c r="F17" s="3" t="s">
        <v>48</v>
      </c>
      <c r="H17" t="s">
        <v>24</v>
      </c>
      <c r="I17" s="9">
        <f>C9</f>
        <v>33064.019999999997</v>
      </c>
      <c r="J17" s="8">
        <f>C12</f>
        <v>52654.930999999997</v>
      </c>
      <c r="K17" s="8">
        <f>C13</f>
        <v>1698.5461612903225</v>
      </c>
      <c r="L17" s="9">
        <f>C14</f>
        <v>19.466070898469127</v>
      </c>
      <c r="M17" s="11">
        <f>C16</f>
        <v>0</v>
      </c>
    </row>
    <row r="18" spans="1:13" ht="28.5">
      <c r="A18" s="3" t="s">
        <v>50</v>
      </c>
      <c r="B18" s="7" t="s">
        <v>75</v>
      </c>
      <c r="C18" s="7">
        <f>IFERROR((C9-B9)/B9,0)</f>
        <v>0.39288183217940942</v>
      </c>
      <c r="D18" s="7">
        <f>IFERROR((D9-C9)/C9,0)</f>
        <v>8.5502004898375977E-2</v>
      </c>
      <c r="E18" s="7">
        <f>IFERROR((E9-D9)/D9,0)</f>
        <v>-0.16458722589970862</v>
      </c>
      <c r="F18" s="3" t="s">
        <v>51</v>
      </c>
      <c r="H18" t="s">
        <v>28</v>
      </c>
      <c r="I18" s="9">
        <f>D9</f>
        <v>35891.06</v>
      </c>
      <c r="J18" s="8">
        <f>D12</f>
        <v>54380.4</v>
      </c>
      <c r="K18" s="8">
        <f>D13</f>
        <v>1942.1571428571428</v>
      </c>
      <c r="L18" s="9">
        <f>D14</f>
        <v>18.479997940434419</v>
      </c>
      <c r="M18" s="11">
        <f>D16</f>
        <v>0</v>
      </c>
    </row>
    <row r="19" spans="1:13">
      <c r="A19" s="3" t="s">
        <v>76</v>
      </c>
      <c r="B19" s="7">
        <f>IFERROR(B11/B10,0)</f>
        <v>0</v>
      </c>
      <c r="C19" s="7">
        <f>IFERROR(C11/C10,0)</f>
        <v>4.8579012869670313E-2</v>
      </c>
      <c r="D19" s="7">
        <f>IFERROR(D11/D10,0)</f>
        <v>0</v>
      </c>
      <c r="E19" s="7">
        <f>IFERROR(E11/E10,0)</f>
        <v>0</v>
      </c>
      <c r="F19" s="3" t="s">
        <v>77</v>
      </c>
      <c r="H19" t="s">
        <v>30</v>
      </c>
      <c r="I19" s="9">
        <f>E9</f>
        <v>29983.850000000002</v>
      </c>
      <c r="J19" s="8">
        <f>E12</f>
        <v>45931.418999999994</v>
      </c>
      <c r="K19" s="8">
        <f>E13</f>
        <v>1481.6586774193547</v>
      </c>
      <c r="L19" s="9">
        <f>E14</f>
        <v>20.236678296396637</v>
      </c>
      <c r="M19" s="11">
        <f>E16</f>
        <v>2.8815591349355005E-2</v>
      </c>
    </row>
    <row r="22" spans="1:13" ht="15">
      <c r="A22" s="4" t="s">
        <v>4</v>
      </c>
      <c r="B22" s="4" t="s">
        <v>5</v>
      </c>
      <c r="C22" s="4" t="s">
        <v>6</v>
      </c>
      <c r="D22" s="4" t="s">
        <v>78</v>
      </c>
      <c r="E22" s="4" t="s">
        <v>79</v>
      </c>
    </row>
    <row r="23" spans="1:13" ht="75.75" customHeight="1">
      <c r="A23" s="30">
        <v>10</v>
      </c>
      <c r="B23" s="31" t="s">
        <v>20</v>
      </c>
      <c r="C23" s="30" t="s">
        <v>21</v>
      </c>
      <c r="D23" s="32">
        <v>0.66</v>
      </c>
      <c r="E23" s="31" t="s">
        <v>80</v>
      </c>
    </row>
    <row r="24" spans="1:13" ht="70.5" customHeight="1">
      <c r="A24" s="33">
        <v>20</v>
      </c>
      <c r="B24" s="34" t="s">
        <v>22</v>
      </c>
      <c r="C24" s="33" t="s">
        <v>23</v>
      </c>
      <c r="D24" s="35">
        <v>0.41</v>
      </c>
      <c r="E24" s="34" t="s">
        <v>81</v>
      </c>
    </row>
    <row r="26" spans="1:13">
      <c r="A26" s="38" t="s">
        <v>82</v>
      </c>
      <c r="B26" s="38"/>
      <c r="C26" s="38"/>
      <c r="D26" s="38"/>
      <c r="E26" s="38"/>
      <c r="F26" s="38"/>
    </row>
    <row r="27" spans="1:13">
      <c r="A27" s="38"/>
      <c r="B27" s="38"/>
      <c r="C27" s="38"/>
      <c r="D27" s="38"/>
      <c r="E27" s="38"/>
      <c r="F27" s="38"/>
    </row>
    <row r="28" spans="1:13">
      <c r="A28" s="38"/>
      <c r="B28" s="38"/>
      <c r="C28" s="38"/>
      <c r="D28" s="38"/>
      <c r="E28" s="38"/>
      <c r="F28" s="38"/>
    </row>
    <row r="29" spans="1:13">
      <c r="A29" s="38"/>
      <c r="B29" s="38"/>
      <c r="C29" s="38"/>
      <c r="D29" s="38"/>
      <c r="E29" s="38"/>
      <c r="F29" s="38"/>
    </row>
  </sheetData>
  <mergeCells count="3">
    <mergeCell ref="A1:H1"/>
    <mergeCell ref="A4:H6"/>
    <mergeCell ref="A26:F29"/>
  </mergeCells>
  <conditionalFormatting sqref="B16:E16">
    <cfRule type="cellIs" dxfId="2" priority="1" operator="greaterThan">
      <formula>0.02</formula>
    </cfRule>
  </conditionalFormatting>
  <conditionalFormatting sqref="C17:E18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="145" zoomScaleNormal="145" workbookViewId="0">
      <selection activeCell="B6" sqref="B6"/>
    </sheetView>
  </sheetViews>
  <sheetFormatPr defaultRowHeight="14.25"/>
  <cols>
    <col min="1" max="1" width="26.75" customWidth="1"/>
    <col min="2" max="2" width="100.125" bestFit="1" customWidth="1"/>
  </cols>
  <sheetData>
    <row r="1" spans="1:2" ht="15">
      <c r="A1" s="10" t="s">
        <v>83</v>
      </c>
      <c r="B1" s="10" t="s">
        <v>84</v>
      </c>
    </row>
    <row r="2" spans="1:2">
      <c r="A2" t="s">
        <v>85</v>
      </c>
      <c r="B2" t="s">
        <v>86</v>
      </c>
    </row>
    <row r="3" spans="1:2">
      <c r="A3" t="s">
        <v>87</v>
      </c>
      <c r="B3" t="s">
        <v>88</v>
      </c>
    </row>
    <row r="4" spans="1:2">
      <c r="A4" t="s">
        <v>89</v>
      </c>
      <c r="B4" t="s">
        <v>90</v>
      </c>
    </row>
    <row r="5" spans="1:2">
      <c r="A5" t="s">
        <v>89</v>
      </c>
      <c r="B5" t="s">
        <v>91</v>
      </c>
    </row>
    <row r="6" spans="1:2">
      <c r="A6" t="s">
        <v>89</v>
      </c>
      <c r="B6" t="s">
        <v>92</v>
      </c>
    </row>
    <row r="7" spans="1:2">
      <c r="A7" t="s">
        <v>89</v>
      </c>
      <c r="B7" t="s">
        <v>93</v>
      </c>
    </row>
    <row r="10" spans="1:2">
      <c r="A10" s="39" t="s">
        <v>94</v>
      </c>
      <c r="B10" s="40"/>
    </row>
    <row r="11" spans="1:2">
      <c r="A11" s="40"/>
      <c r="B11" s="40"/>
    </row>
    <row r="12" spans="1:2">
      <c r="A12" s="40"/>
      <c r="B12" s="40"/>
    </row>
    <row r="13" spans="1:2">
      <c r="A13" s="40"/>
      <c r="B13" s="40"/>
    </row>
    <row r="14" spans="1:2">
      <c r="A14" s="40"/>
      <c r="B14" s="40"/>
    </row>
  </sheetData>
  <mergeCells count="1">
    <mergeCell ref="A10:B14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dba777c-7033-4ab8-8a93-46304e7ee1b4}" enabled="0" method="" siteId="{6dba777c-7033-4ab8-8a93-46304e7ee1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Invoice_Data</vt:lpstr>
      <vt:lpstr>Formula_Guide</vt:lpstr>
      <vt:lpstr>McKesson_Storage_KPI_Summary</vt:lpstr>
      <vt:lpstr>Assumptions_Questions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Tahiri, Klodjan US/KOP EXT</dc:creator>
  <cp:keywords/>
  <dc:description/>
  <cp:lastModifiedBy>Tahiri, Klodjan US/KOP EXT</cp:lastModifiedBy>
  <cp:revision/>
  <dcterms:created xsi:type="dcterms:W3CDTF">2026-06-03T13:13:32Z</dcterms:created>
  <dcterms:modified xsi:type="dcterms:W3CDTF">2026-06-04T13:53:51Z</dcterms:modified>
  <cp:category/>
  <cp:contentStatus/>
</cp:coreProperties>
</file>